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hilimited-my.sharepoint.com/personal/samuel_majekodunmi_chilimited_com/Documents/Desktop/"/>
    </mc:Choice>
  </mc:AlternateContent>
  <xr:revisionPtr revIDLastSave="555" documentId="8_{EC9D18CF-BC10-4799-895E-2ACFF08DE131}" xr6:coauthVersionLast="47" xr6:coauthVersionMax="47" xr10:uidLastSave="{DFB377BE-8A9A-4A4A-B2EC-A997FFEC4565}"/>
  <bookViews>
    <workbookView xWindow="-110" yWindow="-110" windowWidth="19420" windowHeight="10300" xr2:uid="{AD069C3A-77A9-4D03-AC37-00A0D06F07D6}"/>
  </bookViews>
  <sheets>
    <sheet name="JOB REQUEST" sheetId="1" r:id="rId1"/>
    <sheet name="ITEM ORDERS" sheetId="2" r:id="rId2"/>
    <sheet name="Sheet1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  <c r="I18" i="2" l="1"/>
</calcChain>
</file>

<file path=xl/sharedStrings.xml><?xml version="1.0" encoding="utf-8"?>
<sst xmlns="http://schemas.openxmlformats.org/spreadsheetml/2006/main" count="498" uniqueCount="226">
  <si>
    <t>MCS11257</t>
  </si>
  <si>
    <t>Chemical cleaning of boiler 1, 2, 3. 4 &amp; 5 at Utility</t>
  </si>
  <si>
    <t>MCS11258</t>
  </si>
  <si>
    <t>MCS11259</t>
  </si>
  <si>
    <t>MCS11260</t>
  </si>
  <si>
    <t>Calibration of PMS tank and flowmeter in JNSD and Snacks</t>
  </si>
  <si>
    <t>MCS11261</t>
  </si>
  <si>
    <t>MCS11262</t>
  </si>
  <si>
    <t>Maintenance of scrubber units at ETP</t>
  </si>
  <si>
    <t>MCS11263</t>
  </si>
  <si>
    <t>Annual inspection, NDT test of Vam 1, 2, 3, 4 HTG and condenser tubes at Utility</t>
  </si>
  <si>
    <t>MCS11264</t>
  </si>
  <si>
    <t>Labour for heavy-duty preventive maintenance jobs in Utility</t>
  </si>
  <si>
    <t>MCS11265</t>
  </si>
  <si>
    <t>Complete servicing of aeration blowers at ETP</t>
  </si>
  <si>
    <t>MCS11267</t>
  </si>
  <si>
    <t>Labour and travel for maintenance of Ingersoll Rand Air Compressors in Utility</t>
  </si>
  <si>
    <t>MCS11276</t>
  </si>
  <si>
    <t>Annual maintenance of boiler 1,2,3,4 &amp; 5</t>
  </si>
  <si>
    <t>MCS11277</t>
  </si>
  <si>
    <t>Disinfection of raw water and treated water tanks in Utility 1 and 2</t>
  </si>
  <si>
    <t>MCS11278</t>
  </si>
  <si>
    <t>Servicing of VAM chillers &amp; Cooling towers 1, 2. 3, 4</t>
  </si>
  <si>
    <t>MCS11279</t>
  </si>
  <si>
    <t>Annual maintenance contract - Gas Generators in powerhouse</t>
  </si>
  <si>
    <t>MCS11280</t>
  </si>
  <si>
    <t>Annual maintenance contract - IR air compressors in Utility</t>
  </si>
  <si>
    <t>MCS11281</t>
  </si>
  <si>
    <t>Annual maintenance contract - Vam Chillers in Utility</t>
  </si>
  <si>
    <t>MCS11282</t>
  </si>
  <si>
    <t>Annual maintenance contract - Trane Chillers in Utility</t>
  </si>
  <si>
    <t>MCS11283</t>
  </si>
  <si>
    <t>Preventive maintenance of Grundfos pumps in Utility</t>
  </si>
  <si>
    <t>S/N</t>
  </si>
  <si>
    <t>DATE</t>
  </si>
  <si>
    <t>CS NUMBER</t>
  </si>
  <si>
    <t>JOB DESCRIPTION</t>
  </si>
  <si>
    <t>Boiler 1, 2, 3, 5, Vam 2, 3 burner calibration and emission test at Utility</t>
  </si>
  <si>
    <t>STATUS 
(PENDING, PO ISSUED)</t>
  </si>
  <si>
    <t>JOB EXECUTION 
(PENDING, IN PROGRESS, DONE)</t>
  </si>
  <si>
    <t>BRK NUMBER</t>
  </si>
  <si>
    <t>PO NUMBER</t>
  </si>
  <si>
    <t>JCC COMPLETED 
(YES/NO)</t>
  </si>
  <si>
    <t>PAYMENT COMPLETED 
(YES/NO)</t>
  </si>
  <si>
    <t>REMARKS</t>
  </si>
  <si>
    <t>PO VALUE</t>
  </si>
  <si>
    <t>MCS11312</t>
  </si>
  <si>
    <t>Periodic maintenance of Air - Cooled chillers and Air Dryers at Utility 1</t>
  </si>
  <si>
    <t>MCS11313</t>
  </si>
  <si>
    <t>Calibration of process instruments in Utility</t>
  </si>
  <si>
    <t>MCS11314</t>
  </si>
  <si>
    <t>BRK05628</t>
  </si>
  <si>
    <t>BRK05627</t>
  </si>
  <si>
    <t>BRK05596</t>
  </si>
  <si>
    <t>BRK05595</t>
  </si>
  <si>
    <t>BRK05594</t>
  </si>
  <si>
    <t>BRK05593</t>
  </si>
  <si>
    <t>BRK05592</t>
  </si>
  <si>
    <t>BRK05601</t>
  </si>
  <si>
    <t>BRK05591</t>
  </si>
  <si>
    <t>BRK05590</t>
  </si>
  <si>
    <t>BRK05573</t>
  </si>
  <si>
    <t>BRK05568</t>
  </si>
  <si>
    <t>BRK05567</t>
  </si>
  <si>
    <t>BRK05566</t>
  </si>
  <si>
    <t>BRK05565</t>
  </si>
  <si>
    <t>BRK05564</t>
  </si>
  <si>
    <t>BRK05553</t>
  </si>
  <si>
    <t>BRK05556</t>
  </si>
  <si>
    <t>BRK05555</t>
  </si>
  <si>
    <t>BRK05554</t>
  </si>
  <si>
    <t>PO252483</t>
  </si>
  <si>
    <t>PO252482</t>
  </si>
  <si>
    <t>PO252479</t>
  </si>
  <si>
    <t>VENDOR</t>
  </si>
  <si>
    <t>NAFIX</t>
  </si>
  <si>
    <t>Annual inspection of boiler 1, 2, 3, 4 &amp; 5 at Utility MPI &amp; UT test</t>
  </si>
  <si>
    <t>Calibration of boiler and air receiver pressure safety relief valves in Utility</t>
  </si>
  <si>
    <t>CLEAKTEK</t>
  </si>
  <si>
    <t>PO252794</t>
  </si>
  <si>
    <t>MIZAMI</t>
  </si>
  <si>
    <t>PO252743</t>
  </si>
  <si>
    <t>PO ISSUED</t>
  </si>
  <si>
    <t>PO252741</t>
  </si>
  <si>
    <t>TEKNOSPEK</t>
  </si>
  <si>
    <t>REQUEST FOR OFFER</t>
  </si>
  <si>
    <t>SUSPENDED</t>
  </si>
  <si>
    <t>PRN NUMBER</t>
  </si>
  <si>
    <t>MRS NUMBER</t>
  </si>
  <si>
    <t>ENUT006377</t>
  </si>
  <si>
    <t>ENUT006378</t>
  </si>
  <si>
    <t>1. TRANE Controller Upgrade (SYMBIO800)</t>
  </si>
  <si>
    <t>1. Cooling Tower Chemical Consumables (MAKS, VINKOCIDE, NALCO ST40)
2. UV Cleaning Chemical (Phosphric acid)</t>
  </si>
  <si>
    <t>ENUT006379</t>
  </si>
  <si>
    <t>ENUTB00662</t>
  </si>
  <si>
    <t>1. Monoethylene glycol
2. IR Spares for Utility Air Compressors (Gearcase, Seal, etc.)</t>
  </si>
  <si>
    <t>1. TRANE Chiller Overhaul spares
2. TRANE Chiller spares for inventory (Oil, Liquid level, Transducer, EXV, High Pressure hose,etc)
3. Chiller Mechanical Tools (Manifold guage, Nitrogen guage)</t>
  </si>
  <si>
    <t>ENUT006386</t>
  </si>
  <si>
    <t>1. Refrigerant recovery unit + empty cylinder R134A, others</t>
  </si>
  <si>
    <t>Rotimi Isaac</t>
  </si>
  <si>
    <t>Adewale Sulaimon</t>
  </si>
  <si>
    <t>Wale Fashina</t>
  </si>
  <si>
    <t>Lekan Adedeji</t>
  </si>
  <si>
    <t>Rasheed Adeniji</t>
  </si>
  <si>
    <t>Chukwuma Uwabor</t>
  </si>
  <si>
    <t>Gabriel Salami</t>
  </si>
  <si>
    <t>Tunde Mayaki</t>
  </si>
  <si>
    <t>Adebayo Olaniran</t>
  </si>
  <si>
    <t>Yisa Kareem</t>
  </si>
  <si>
    <t>Kunle Oyedele</t>
  </si>
  <si>
    <t>Harrison Enabulele</t>
  </si>
  <si>
    <t>Email ID</t>
  </si>
  <si>
    <t>(Yes/No)</t>
  </si>
  <si>
    <t>ERP Access</t>
  </si>
  <si>
    <t>PTW Issuance Access</t>
  </si>
  <si>
    <t>System Account ID</t>
  </si>
  <si>
    <t>ERP Knowledge</t>
  </si>
  <si>
    <t>PTW Issuance Knowledge</t>
  </si>
  <si>
    <t>CUG Line</t>
  </si>
  <si>
    <t>Sharepoint Knowledge</t>
  </si>
  <si>
    <t>Company Mobile Phone</t>
  </si>
  <si>
    <t>IT WIFI Access</t>
  </si>
  <si>
    <t>IT Printing Access</t>
  </si>
  <si>
    <t>Isah Ibrahim</t>
  </si>
  <si>
    <t>HR Access Knowledge</t>
  </si>
  <si>
    <t>System (Computer) Access</t>
  </si>
  <si>
    <t>JOB REQUEST ABANDONED</t>
  </si>
  <si>
    <t>PO253094</t>
  </si>
  <si>
    <t>CALGATE</t>
  </si>
  <si>
    <t>PO253063</t>
  </si>
  <si>
    <t>MCS11361</t>
  </si>
  <si>
    <t>BRK05690</t>
  </si>
  <si>
    <t>IN PROGRESS</t>
  </si>
  <si>
    <t>1. SSR Ultracoolant oil + air filter + oil filter</t>
  </si>
  <si>
    <t>PENDING</t>
  </si>
  <si>
    <t>Maintenance of Borehole 1, 2, 4, 5, 6, and 7 Factory-wide</t>
  </si>
  <si>
    <t>MCS11373</t>
  </si>
  <si>
    <t>BRK05705</t>
  </si>
  <si>
    <t>PO253646</t>
  </si>
  <si>
    <t>Installation of PMS Dispenser, Calibration and Sealing</t>
  </si>
  <si>
    <t>PUMP PLUS</t>
  </si>
  <si>
    <t>PO253672</t>
  </si>
  <si>
    <t>PO252659</t>
  </si>
  <si>
    <t>BEAMCO</t>
  </si>
  <si>
    <t>PO253712</t>
  </si>
  <si>
    <t>Inspection of air compressors in Utility 1 for 4 days</t>
  </si>
  <si>
    <t>Cleaning of Underground Tank in Pineapple Land</t>
  </si>
  <si>
    <t>MILESTONE</t>
  </si>
  <si>
    <t>1. TRANE Chiller spares for inventory (Oil, Liquid level, Transducer, EXV, High Pressure hose,etc)
2. Chiller Mechanical Tools (Manifold guage, Nitrogen guage)</t>
  </si>
  <si>
    <t>Installation of online pH monitoring system on raw and treated water line in Utility</t>
  </si>
  <si>
    <t>Reconditioning of 2 air compressor 113kw electric motor in Utility 1</t>
  </si>
  <si>
    <t>BRK05719</t>
  </si>
  <si>
    <t>MCS11383</t>
  </si>
  <si>
    <t>MCS11390</t>
  </si>
  <si>
    <t>Installation of Analyser for Nitrogen Dew Point, Moisture and Nitrogen composition</t>
  </si>
  <si>
    <t>Installation of 6m3 Softener Plant in Utility 2</t>
  </si>
  <si>
    <t>Yes</t>
  </si>
  <si>
    <t>No</t>
  </si>
  <si>
    <t>BRK05727</t>
  </si>
  <si>
    <t>Overhauling of pressure filter tank 1, 2, 3, 4, 5 &amp; 6 at Utility 1</t>
  </si>
  <si>
    <t>MCS114332</t>
  </si>
  <si>
    <t>BRK05830</t>
  </si>
  <si>
    <t>IR Air Compressor Spares + India</t>
  </si>
  <si>
    <t>MCS114346</t>
  </si>
  <si>
    <t>Periodic maintenance of Air Dryers (IR &amp; Atlas Copco) at Utility 1</t>
  </si>
  <si>
    <t>BRK05844</t>
  </si>
  <si>
    <t>MCS114368</t>
  </si>
  <si>
    <t>Overhaul of Activated carbon filter at ETP plant</t>
  </si>
  <si>
    <t>MCS114369</t>
  </si>
  <si>
    <t>Complete servicing of Aeration blowers at ETP</t>
  </si>
  <si>
    <t>MCS114370</t>
  </si>
  <si>
    <t>Removal and installation of ducting system for air compressor 5 &amp; 6</t>
  </si>
  <si>
    <t>MCS114372</t>
  </si>
  <si>
    <t>Inspection of air compressors in Utility 1</t>
  </si>
  <si>
    <t>BRK05879</t>
  </si>
  <si>
    <t>BRK05880</t>
  </si>
  <si>
    <t>BRK05881</t>
  </si>
  <si>
    <t>BRK05883</t>
  </si>
  <si>
    <t>DONE</t>
  </si>
  <si>
    <t>YES</t>
  </si>
  <si>
    <t>PO255926</t>
  </si>
  <si>
    <t>PO255920</t>
  </si>
  <si>
    <t>SCOA</t>
  </si>
  <si>
    <t>SCHROEDER</t>
  </si>
  <si>
    <t>PO255922</t>
  </si>
  <si>
    <t>DECM</t>
  </si>
  <si>
    <t>PO255792</t>
  </si>
  <si>
    <t>CAPEX PO ISSUED</t>
  </si>
  <si>
    <t>WOLE OGUNS</t>
  </si>
  <si>
    <t>BRK05624</t>
  </si>
  <si>
    <t>PO253097</t>
  </si>
  <si>
    <t>BRK05626/05928</t>
  </si>
  <si>
    <t>PO255193</t>
  </si>
  <si>
    <t>FA05155</t>
  </si>
  <si>
    <t>PO256309</t>
  </si>
  <si>
    <t>FA05166</t>
  </si>
  <si>
    <t>PO256024</t>
  </si>
  <si>
    <t>MCS114426</t>
  </si>
  <si>
    <t>Service charges for Boiler 5 maintenance</t>
  </si>
  <si>
    <t>MCS114427</t>
  </si>
  <si>
    <t>MCS114428</t>
  </si>
  <si>
    <t>Repair, verification, recalibration of Biogas flow meter</t>
  </si>
  <si>
    <t>BRK05956</t>
  </si>
  <si>
    <t>BRK05955</t>
  </si>
  <si>
    <t>BRK05957</t>
  </si>
  <si>
    <t>MCS114403</t>
  </si>
  <si>
    <t>Annual maintenance of air-cooled chillers and air dryers in Utility 1 &amp; 2</t>
  </si>
  <si>
    <t>Replacement of air filter modules on air distribution line in Utility</t>
  </si>
  <si>
    <t>BRK05929</t>
  </si>
  <si>
    <t>MCS11310</t>
  </si>
  <si>
    <t>PCS1141</t>
  </si>
  <si>
    <t>PCS1100</t>
  </si>
  <si>
    <t>REMARKS / VENDORS IN BRK</t>
  </si>
  <si>
    <t>APPROVED IN BC</t>
  </si>
  <si>
    <t>PO256689</t>
  </si>
  <si>
    <t>WOERMANN</t>
  </si>
  <si>
    <t>PO256692</t>
  </si>
  <si>
    <t>PO256680</t>
  </si>
  <si>
    <t>Overhaul of Air-Cooled Chiller (CLIVET) in Utility 2</t>
  </si>
  <si>
    <t>Removal, Servicing and Replacement of Borehole (Factory Wide)</t>
  </si>
  <si>
    <t>Installation of Dampers for Boiler 5 Economizer at Utility 1</t>
  </si>
  <si>
    <t>BRK05998</t>
  </si>
  <si>
    <t>BRK05997</t>
  </si>
  <si>
    <t>FADASB, TOLS ENGINEERING, DECM, MILESTONE</t>
  </si>
  <si>
    <t>DECM, NAFIX, FADASB, MILESTONE</t>
  </si>
  <si>
    <t>ESDDEST, FADASB, DECM, LCTL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</si>
</sst>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/>
    <xf numFmtId="3" fontId="0" fillId="0" borderId="0" xfId="0" applyNumberFormat="1"/>
    <xf numFmtId="164" fontId="1" fillId="0" borderId="1" xfId="1" applyNumberFormat="1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64" fontId="1" fillId="0" borderId="0" xfId="0" applyNumberFormat="1" applyFont="1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/>
    </xf>
    <xf numFmtId="164" fontId="1" fillId="0" borderId="1" xfId="1" applyNumberFormat="1" applyFont="1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wrapText="1"/>
    </xf>
    <xf numFmtId="164" fontId="1" fillId="2" borderId="1" xfId="1" applyNumberFormat="1" applyFont="1" applyFill="1" applyBorder="1"/>
    <xf numFmtId="0" fontId="4" fillId="2" borderId="1" xfId="0" applyFont="1" applyFill="1" applyBorder="1"/>
    <xf numFmtId="14" fontId="4" fillId="2" borderId="1" xfId="0" applyNumberFormat="1" applyFont="1" applyFill="1" applyBorder="1"/>
    <xf numFmtId="14" fontId="1" fillId="2" borderId="1" xfId="0" applyNumberFormat="1" applyFont="1" applyFill="1" applyBorder="1"/>
  </cellXfs>
  <cellStyles count="2">
    <cellStyle name="Comma" xfId="1" builtinId="3"/>
    <cellStyle name="Normal" xfId="0" builtinId="0"/>
  </cellStyles>
  <dxfs count="2">
    <dxf>
      <font>
        <color theme="1"/>
      </font>
      <fill>
        <patternFill>
          <bgColor theme="6" tint="0.7999816888943144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405F-50E2-44AA-992D-8101891395EA}">
  <sheetPr codeName="Sheet1"/>
  <dimension ref="B3:N56"/>
  <sheetViews>
    <sheetView showGridLines="0" tabSelected="1" zoomScale="90" zoomScaleNormal="90" workbookViewId="0">
      <pane xSplit="5" ySplit="3" topLeftCell="F41" activePane="bottomRight" state="frozen"/>
      <selection pane="topRight" activeCell="F1" sqref="F1"/>
      <selection pane="bottomLeft" activeCell="A4" sqref="A4"/>
      <selection pane="bottomRight" activeCell="H45" sqref="H45"/>
    </sheetView>
  </sheetViews>
  <sheetFormatPr defaultRowHeight="13" x14ac:dyDescent="0.3"/>
  <cols>
    <col min="1" max="1" width="3" style="6" customWidth="1"/>
    <col min="2" max="2" width="3.7265625" style="6" bestFit="1" customWidth="1"/>
    <col min="3" max="3" width="7.54296875" style="6" bestFit="1" customWidth="1"/>
    <col min="4" max="4" width="9.81640625" style="6" bestFit="1" customWidth="1"/>
    <col min="5" max="5" width="60.90625" style="6" customWidth="1"/>
    <col min="6" max="6" width="13.453125" style="6" bestFit="1" customWidth="1"/>
    <col min="7" max="7" width="14" style="10" customWidth="1"/>
    <col min="8" max="13" width="10.90625" style="6" customWidth="1"/>
    <col min="14" max="14" width="26.6328125" style="10" customWidth="1"/>
    <col min="15" max="15" width="13.36328125" style="6" customWidth="1"/>
    <col min="16" max="16384" width="8.7265625" style="6"/>
  </cols>
  <sheetData>
    <row r="3" spans="2:14" s="3" customFormat="1" ht="70.5" customHeight="1" x14ac:dyDescent="0.35">
      <c r="B3" s="1" t="s">
        <v>33</v>
      </c>
      <c r="C3" s="1" t="s">
        <v>34</v>
      </c>
      <c r="D3" s="1" t="s">
        <v>35</v>
      </c>
      <c r="E3" s="1" t="s">
        <v>36</v>
      </c>
      <c r="F3" s="1" t="s">
        <v>40</v>
      </c>
      <c r="G3" s="2" t="s">
        <v>38</v>
      </c>
      <c r="H3" s="1" t="s">
        <v>41</v>
      </c>
      <c r="I3" s="2" t="s">
        <v>45</v>
      </c>
      <c r="J3" s="1" t="s">
        <v>74</v>
      </c>
      <c r="K3" s="2" t="s">
        <v>39</v>
      </c>
      <c r="L3" s="2" t="s">
        <v>42</v>
      </c>
      <c r="M3" s="2" t="s">
        <v>43</v>
      </c>
      <c r="N3" s="2" t="s">
        <v>212</v>
      </c>
    </row>
    <row r="4" spans="2:14" ht="33" customHeight="1" x14ac:dyDescent="0.3">
      <c r="B4" s="4">
        <v>1</v>
      </c>
      <c r="C4" s="5">
        <v>46028</v>
      </c>
      <c r="D4" s="4" t="s">
        <v>0</v>
      </c>
      <c r="E4" s="4" t="s">
        <v>1</v>
      </c>
      <c r="F4" s="4" t="s">
        <v>70</v>
      </c>
      <c r="G4" s="9" t="s">
        <v>82</v>
      </c>
      <c r="H4" s="4" t="s">
        <v>81</v>
      </c>
      <c r="I4" s="8">
        <v>22333796.879999999</v>
      </c>
      <c r="J4" s="4" t="s">
        <v>78</v>
      </c>
      <c r="K4" s="9" t="s">
        <v>132</v>
      </c>
      <c r="L4" s="4"/>
      <c r="M4" s="4"/>
      <c r="N4" s="9"/>
    </row>
    <row r="5" spans="2:14" ht="33" customHeight="1" x14ac:dyDescent="0.3">
      <c r="B5" s="4">
        <v>2</v>
      </c>
      <c r="C5" s="5">
        <v>46028</v>
      </c>
      <c r="D5" s="4" t="s">
        <v>2</v>
      </c>
      <c r="E5" s="4" t="s">
        <v>77</v>
      </c>
      <c r="F5" s="4" t="s">
        <v>69</v>
      </c>
      <c r="G5" s="9" t="s">
        <v>82</v>
      </c>
      <c r="H5" s="4" t="s">
        <v>71</v>
      </c>
      <c r="I5" s="8">
        <v>2167200</v>
      </c>
      <c r="J5" s="4" t="s">
        <v>75</v>
      </c>
      <c r="K5" s="9" t="s">
        <v>132</v>
      </c>
      <c r="L5" s="4"/>
      <c r="M5" s="4"/>
      <c r="N5" s="9"/>
    </row>
    <row r="6" spans="2:14" ht="33" customHeight="1" x14ac:dyDescent="0.3">
      <c r="B6" s="4">
        <v>3</v>
      </c>
      <c r="C6" s="5">
        <v>46028</v>
      </c>
      <c r="D6" s="4" t="s">
        <v>3</v>
      </c>
      <c r="E6" s="4" t="s">
        <v>76</v>
      </c>
      <c r="F6" s="4" t="s">
        <v>68</v>
      </c>
      <c r="G6" s="9" t="s">
        <v>82</v>
      </c>
      <c r="H6" s="4" t="s">
        <v>72</v>
      </c>
      <c r="I6" s="8">
        <v>3780000</v>
      </c>
      <c r="J6" s="4" t="s">
        <v>75</v>
      </c>
      <c r="K6" s="9" t="s">
        <v>132</v>
      </c>
      <c r="L6" s="4"/>
      <c r="M6" s="4"/>
      <c r="N6" s="9"/>
    </row>
    <row r="7" spans="2:14" ht="33" customHeight="1" x14ac:dyDescent="0.3">
      <c r="B7" s="4">
        <v>4</v>
      </c>
      <c r="C7" s="5">
        <v>46028</v>
      </c>
      <c r="D7" s="4" t="s">
        <v>4</v>
      </c>
      <c r="E7" s="4" t="s">
        <v>5</v>
      </c>
      <c r="F7" s="4" t="s">
        <v>67</v>
      </c>
      <c r="G7" s="9" t="s">
        <v>82</v>
      </c>
      <c r="H7" s="4" t="s">
        <v>73</v>
      </c>
      <c r="I7" s="8">
        <v>850000</v>
      </c>
      <c r="J7" s="4" t="s">
        <v>75</v>
      </c>
      <c r="K7" s="9" t="s">
        <v>178</v>
      </c>
      <c r="L7" s="4" t="s">
        <v>179</v>
      </c>
      <c r="M7" s="4" t="s">
        <v>179</v>
      </c>
      <c r="N7" s="9"/>
    </row>
    <row r="8" spans="2:14" ht="33" customHeight="1" x14ac:dyDescent="0.3">
      <c r="B8" s="4">
        <v>5</v>
      </c>
      <c r="C8" s="5">
        <v>46030</v>
      </c>
      <c r="D8" s="4" t="s">
        <v>6</v>
      </c>
      <c r="E8" s="4" t="s">
        <v>37</v>
      </c>
      <c r="F8" s="4" t="s">
        <v>66</v>
      </c>
      <c r="G8" s="9" t="s">
        <v>82</v>
      </c>
      <c r="H8" s="4" t="s">
        <v>79</v>
      </c>
      <c r="I8" s="8">
        <v>11287500</v>
      </c>
      <c r="J8" s="4" t="s">
        <v>80</v>
      </c>
      <c r="K8" s="9" t="s">
        <v>134</v>
      </c>
      <c r="L8" s="4"/>
      <c r="M8" s="4"/>
      <c r="N8" s="9"/>
    </row>
    <row r="9" spans="2:14" ht="33" customHeight="1" x14ac:dyDescent="0.3">
      <c r="B9" s="4">
        <v>6</v>
      </c>
      <c r="C9" s="5">
        <v>46030</v>
      </c>
      <c r="D9" s="4" t="s">
        <v>7</v>
      </c>
      <c r="E9" s="4" t="s">
        <v>8</v>
      </c>
      <c r="F9" s="4" t="s">
        <v>65</v>
      </c>
      <c r="G9" s="9" t="s">
        <v>82</v>
      </c>
      <c r="H9" s="4" t="s">
        <v>142</v>
      </c>
      <c r="I9" s="8">
        <v>1420000</v>
      </c>
      <c r="J9" s="4" t="s">
        <v>84</v>
      </c>
      <c r="K9" s="9" t="s">
        <v>178</v>
      </c>
      <c r="L9" s="4" t="s">
        <v>179</v>
      </c>
      <c r="M9" s="4" t="s">
        <v>179</v>
      </c>
      <c r="N9" s="9"/>
    </row>
    <row r="10" spans="2:14" ht="33" customHeight="1" x14ac:dyDescent="0.3">
      <c r="B10" s="24">
        <v>7</v>
      </c>
      <c r="C10" s="25">
        <v>46030</v>
      </c>
      <c r="D10" s="24" t="s">
        <v>9</v>
      </c>
      <c r="E10" s="24" t="s">
        <v>10</v>
      </c>
      <c r="F10" s="24" t="s">
        <v>64</v>
      </c>
      <c r="G10" s="22" t="s">
        <v>126</v>
      </c>
      <c r="H10" s="11"/>
      <c r="I10" s="23"/>
      <c r="J10" s="11"/>
      <c r="K10" s="12"/>
      <c r="L10" s="11"/>
      <c r="M10" s="11"/>
      <c r="N10" s="12"/>
    </row>
    <row r="11" spans="2:14" ht="33" customHeight="1" x14ac:dyDescent="0.3">
      <c r="B11" s="4">
        <v>8</v>
      </c>
      <c r="C11" s="5">
        <v>46030</v>
      </c>
      <c r="D11" s="4" t="s">
        <v>11</v>
      </c>
      <c r="E11" s="4" t="s">
        <v>12</v>
      </c>
      <c r="F11" s="4" t="s">
        <v>63</v>
      </c>
      <c r="G11" s="9" t="s">
        <v>82</v>
      </c>
      <c r="H11" s="4" t="s">
        <v>83</v>
      </c>
      <c r="I11" s="8">
        <v>6060000</v>
      </c>
      <c r="J11" s="4" t="s">
        <v>84</v>
      </c>
      <c r="K11" s="9" t="s">
        <v>132</v>
      </c>
      <c r="L11" s="4"/>
      <c r="M11" s="4"/>
      <c r="N11" s="9"/>
    </row>
    <row r="12" spans="2:14" ht="33" customHeight="1" x14ac:dyDescent="0.3">
      <c r="B12" s="11">
        <v>9</v>
      </c>
      <c r="C12" s="26">
        <v>46030</v>
      </c>
      <c r="D12" s="11" t="s">
        <v>13</v>
      </c>
      <c r="E12" s="11" t="s">
        <v>14</v>
      </c>
      <c r="F12" s="11" t="s">
        <v>62</v>
      </c>
      <c r="G12" s="12" t="s">
        <v>86</v>
      </c>
      <c r="H12" s="11"/>
      <c r="I12" s="23"/>
      <c r="J12" s="11"/>
      <c r="K12" s="12"/>
      <c r="L12" s="11"/>
      <c r="M12" s="11"/>
      <c r="N12" s="12"/>
    </row>
    <row r="13" spans="2:14" ht="33" customHeight="1" x14ac:dyDescent="0.3">
      <c r="B13" s="4">
        <v>10</v>
      </c>
      <c r="C13" s="5">
        <v>46031</v>
      </c>
      <c r="D13" s="4" t="s">
        <v>15</v>
      </c>
      <c r="E13" s="4" t="s">
        <v>16</v>
      </c>
      <c r="F13" s="4" t="s">
        <v>61</v>
      </c>
      <c r="G13" s="9" t="s">
        <v>85</v>
      </c>
      <c r="H13" s="4"/>
      <c r="I13" s="8"/>
      <c r="J13" s="4"/>
      <c r="K13" s="9"/>
      <c r="L13" s="4"/>
      <c r="M13" s="4"/>
      <c r="N13" s="9"/>
    </row>
    <row r="14" spans="2:14" ht="33" customHeight="1" x14ac:dyDescent="0.3">
      <c r="B14" s="4">
        <v>11</v>
      </c>
      <c r="C14" s="5">
        <v>46042</v>
      </c>
      <c r="D14" s="4" t="s">
        <v>17</v>
      </c>
      <c r="E14" s="4" t="s">
        <v>18</v>
      </c>
      <c r="F14" s="4" t="s">
        <v>60</v>
      </c>
      <c r="G14" s="9" t="s">
        <v>82</v>
      </c>
      <c r="H14" s="4" t="s">
        <v>141</v>
      </c>
      <c r="I14" s="8">
        <v>12460000</v>
      </c>
      <c r="J14" s="4" t="s">
        <v>80</v>
      </c>
      <c r="K14" s="9" t="s">
        <v>132</v>
      </c>
      <c r="L14" s="4"/>
      <c r="M14" s="4"/>
      <c r="N14" s="9"/>
    </row>
    <row r="15" spans="2:14" ht="33" customHeight="1" x14ac:dyDescent="0.3">
      <c r="B15" s="4">
        <v>12</v>
      </c>
      <c r="C15" s="5">
        <v>46044</v>
      </c>
      <c r="D15" s="4" t="s">
        <v>19</v>
      </c>
      <c r="E15" s="4" t="s">
        <v>20</v>
      </c>
      <c r="F15" s="4" t="s">
        <v>59</v>
      </c>
      <c r="G15" s="9" t="s">
        <v>85</v>
      </c>
      <c r="H15" s="4"/>
      <c r="I15" s="8"/>
      <c r="J15" s="4"/>
      <c r="K15" s="9"/>
      <c r="L15" s="4"/>
      <c r="M15" s="4"/>
      <c r="N15" s="9"/>
    </row>
    <row r="16" spans="2:14" ht="33" customHeight="1" x14ac:dyDescent="0.3">
      <c r="B16" s="4">
        <v>13</v>
      </c>
      <c r="C16" s="5">
        <v>46044</v>
      </c>
      <c r="D16" s="4" t="s">
        <v>21</v>
      </c>
      <c r="E16" s="4" t="s">
        <v>22</v>
      </c>
      <c r="F16" s="4" t="s">
        <v>58</v>
      </c>
      <c r="G16" s="9" t="s">
        <v>85</v>
      </c>
      <c r="H16" s="4"/>
      <c r="I16" s="8"/>
      <c r="J16" s="4"/>
      <c r="K16" s="9"/>
      <c r="L16" s="4"/>
      <c r="M16" s="4"/>
      <c r="N16" s="9"/>
    </row>
    <row r="17" spans="2:14" ht="33" customHeight="1" x14ac:dyDescent="0.3">
      <c r="B17" s="11">
        <v>14</v>
      </c>
      <c r="C17" s="26">
        <v>46044</v>
      </c>
      <c r="D17" s="11" t="s">
        <v>23</v>
      </c>
      <c r="E17" s="11" t="s">
        <v>24</v>
      </c>
      <c r="F17" s="11" t="s">
        <v>57</v>
      </c>
      <c r="G17" s="12" t="s">
        <v>86</v>
      </c>
      <c r="H17" s="11"/>
      <c r="I17" s="23"/>
      <c r="J17" s="11"/>
      <c r="K17" s="12"/>
      <c r="L17" s="11"/>
      <c r="M17" s="11"/>
      <c r="N17" s="12"/>
    </row>
    <row r="18" spans="2:14" ht="33" customHeight="1" x14ac:dyDescent="0.3">
      <c r="B18" s="11">
        <v>15</v>
      </c>
      <c r="C18" s="26">
        <v>46044</v>
      </c>
      <c r="D18" s="11" t="s">
        <v>25</v>
      </c>
      <c r="E18" s="11" t="s">
        <v>26</v>
      </c>
      <c r="F18" s="11" t="s">
        <v>56</v>
      </c>
      <c r="G18" s="12" t="s">
        <v>86</v>
      </c>
      <c r="H18" s="11"/>
      <c r="I18" s="23"/>
      <c r="J18" s="11"/>
      <c r="K18" s="12"/>
      <c r="L18" s="11"/>
      <c r="M18" s="11"/>
      <c r="N18" s="12"/>
    </row>
    <row r="19" spans="2:14" ht="33" customHeight="1" x14ac:dyDescent="0.3">
      <c r="B19" s="11">
        <v>16</v>
      </c>
      <c r="C19" s="26">
        <v>46044</v>
      </c>
      <c r="D19" s="11" t="s">
        <v>27</v>
      </c>
      <c r="E19" s="11" t="s">
        <v>28</v>
      </c>
      <c r="F19" s="11" t="s">
        <v>55</v>
      </c>
      <c r="G19" s="12" t="s">
        <v>86</v>
      </c>
      <c r="H19" s="11"/>
      <c r="I19" s="23"/>
      <c r="J19" s="11"/>
      <c r="K19" s="12"/>
      <c r="L19" s="11"/>
      <c r="M19" s="11"/>
      <c r="N19" s="12"/>
    </row>
    <row r="20" spans="2:14" ht="33" customHeight="1" x14ac:dyDescent="0.3">
      <c r="B20" s="11">
        <v>17</v>
      </c>
      <c r="C20" s="26">
        <v>46044</v>
      </c>
      <c r="D20" s="11" t="s">
        <v>29</v>
      </c>
      <c r="E20" s="11" t="s">
        <v>30</v>
      </c>
      <c r="F20" s="11" t="s">
        <v>54</v>
      </c>
      <c r="G20" s="12" t="s">
        <v>86</v>
      </c>
      <c r="H20" s="11"/>
      <c r="I20" s="23"/>
      <c r="J20" s="11"/>
      <c r="K20" s="12"/>
      <c r="L20" s="11"/>
      <c r="M20" s="11"/>
      <c r="N20" s="12"/>
    </row>
    <row r="21" spans="2:14" ht="33" customHeight="1" x14ac:dyDescent="0.3">
      <c r="B21" s="4">
        <v>18</v>
      </c>
      <c r="C21" s="5">
        <v>46044</v>
      </c>
      <c r="D21" s="4" t="s">
        <v>31</v>
      </c>
      <c r="E21" s="4" t="s">
        <v>32</v>
      </c>
      <c r="F21" s="4" t="s">
        <v>53</v>
      </c>
      <c r="G21" s="9" t="s">
        <v>85</v>
      </c>
      <c r="H21" s="4"/>
      <c r="I21" s="8"/>
      <c r="J21" s="4"/>
      <c r="K21" s="9"/>
      <c r="L21" s="4"/>
      <c r="M21" s="4"/>
      <c r="N21" s="9"/>
    </row>
    <row r="22" spans="2:14" ht="31.5" customHeight="1" x14ac:dyDescent="0.3">
      <c r="B22" s="4">
        <v>19</v>
      </c>
      <c r="C22" s="5">
        <v>46069</v>
      </c>
      <c r="D22" s="4" t="s">
        <v>46</v>
      </c>
      <c r="E22" s="4" t="s">
        <v>47</v>
      </c>
      <c r="F22" s="4" t="s">
        <v>191</v>
      </c>
      <c r="G22" s="9" t="s">
        <v>213</v>
      </c>
      <c r="H22" s="4"/>
      <c r="I22" s="8"/>
      <c r="J22" s="4"/>
      <c r="K22" s="9"/>
      <c r="L22" s="4"/>
      <c r="M22" s="4"/>
      <c r="N22" s="9"/>
    </row>
    <row r="23" spans="2:14" ht="31.5" customHeight="1" x14ac:dyDescent="0.3">
      <c r="B23" s="4">
        <v>20</v>
      </c>
      <c r="C23" s="5">
        <v>46069</v>
      </c>
      <c r="D23" s="4" t="s">
        <v>48</v>
      </c>
      <c r="E23" s="4" t="s">
        <v>49</v>
      </c>
      <c r="F23" s="4" t="s">
        <v>52</v>
      </c>
      <c r="G23" s="9" t="s">
        <v>82</v>
      </c>
      <c r="H23" s="4" t="s">
        <v>127</v>
      </c>
      <c r="I23" s="8">
        <v>2330600</v>
      </c>
      <c r="J23" s="4" t="s">
        <v>128</v>
      </c>
      <c r="K23" s="9" t="s">
        <v>178</v>
      </c>
      <c r="L23" s="4" t="s">
        <v>179</v>
      </c>
      <c r="M23" s="4" t="s">
        <v>179</v>
      </c>
      <c r="N23" s="9"/>
    </row>
    <row r="24" spans="2:14" ht="31.5" customHeight="1" x14ac:dyDescent="0.3">
      <c r="B24" s="4">
        <v>21</v>
      </c>
      <c r="C24" s="5">
        <v>46069</v>
      </c>
      <c r="D24" s="4" t="s">
        <v>50</v>
      </c>
      <c r="E24" s="4" t="s">
        <v>154</v>
      </c>
      <c r="F24" s="4" t="s">
        <v>51</v>
      </c>
      <c r="G24" s="9" t="s">
        <v>82</v>
      </c>
      <c r="H24" s="4" t="s">
        <v>129</v>
      </c>
      <c r="I24" s="8">
        <v>17969270</v>
      </c>
      <c r="J24" s="4" t="s">
        <v>75</v>
      </c>
      <c r="K24" s="9" t="s">
        <v>178</v>
      </c>
      <c r="L24" s="4" t="s">
        <v>179</v>
      </c>
      <c r="M24" s="4" t="s">
        <v>179</v>
      </c>
      <c r="N24" s="9"/>
    </row>
    <row r="25" spans="2:14" ht="31.5" customHeight="1" x14ac:dyDescent="0.3">
      <c r="B25" s="4">
        <v>22</v>
      </c>
      <c r="C25" s="5">
        <v>46069</v>
      </c>
      <c r="D25" s="4" t="s">
        <v>209</v>
      </c>
      <c r="E25" s="4" t="s">
        <v>146</v>
      </c>
      <c r="F25" s="4" t="s">
        <v>189</v>
      </c>
      <c r="G25" s="9" t="s">
        <v>82</v>
      </c>
      <c r="H25" s="4" t="s">
        <v>190</v>
      </c>
      <c r="I25" s="8">
        <v>721295</v>
      </c>
      <c r="J25" s="4" t="s">
        <v>75</v>
      </c>
      <c r="K25" s="9" t="s">
        <v>178</v>
      </c>
      <c r="L25" s="4" t="s">
        <v>179</v>
      </c>
      <c r="M25" s="4" t="s">
        <v>179</v>
      </c>
      <c r="N25" s="9"/>
    </row>
    <row r="26" spans="2:14" ht="31.5" customHeight="1" x14ac:dyDescent="0.3">
      <c r="B26" s="4">
        <v>23</v>
      </c>
      <c r="C26" s="5">
        <v>46104</v>
      </c>
      <c r="D26" s="4" t="s">
        <v>130</v>
      </c>
      <c r="E26" s="4" t="s">
        <v>145</v>
      </c>
      <c r="F26" s="4" t="s">
        <v>131</v>
      </c>
      <c r="G26" s="9" t="s">
        <v>82</v>
      </c>
      <c r="H26" s="4" t="s">
        <v>144</v>
      </c>
      <c r="I26" s="8">
        <v>5319600</v>
      </c>
      <c r="J26" s="4" t="s">
        <v>143</v>
      </c>
      <c r="K26" s="9" t="s">
        <v>178</v>
      </c>
      <c r="L26" s="4" t="s">
        <v>179</v>
      </c>
      <c r="M26" s="4"/>
      <c r="N26" s="9"/>
    </row>
    <row r="27" spans="2:14" ht="31.5" customHeight="1" x14ac:dyDescent="0.3">
      <c r="B27" s="4">
        <v>24</v>
      </c>
      <c r="C27" s="5">
        <v>46106</v>
      </c>
      <c r="D27" s="4" t="s">
        <v>211</v>
      </c>
      <c r="E27" s="4" t="s">
        <v>149</v>
      </c>
      <c r="F27" s="4" t="s">
        <v>193</v>
      </c>
      <c r="G27" s="9" t="s">
        <v>187</v>
      </c>
      <c r="H27" s="4" t="s">
        <v>192</v>
      </c>
      <c r="I27" s="8">
        <v>20855000</v>
      </c>
      <c r="J27" s="4" t="s">
        <v>75</v>
      </c>
      <c r="K27" s="9" t="s">
        <v>178</v>
      </c>
      <c r="L27" s="4" t="s">
        <v>179</v>
      </c>
      <c r="M27" s="4"/>
      <c r="N27" s="9"/>
    </row>
    <row r="28" spans="2:14" ht="31.5" customHeight="1" x14ac:dyDescent="0.3">
      <c r="B28" s="4">
        <v>25</v>
      </c>
      <c r="C28" s="5">
        <v>46106</v>
      </c>
      <c r="D28" s="4" t="s">
        <v>136</v>
      </c>
      <c r="E28" s="4" t="s">
        <v>135</v>
      </c>
      <c r="F28" s="4" t="s">
        <v>137</v>
      </c>
      <c r="G28" s="9" t="s">
        <v>85</v>
      </c>
      <c r="H28" s="4"/>
      <c r="I28" s="8"/>
      <c r="J28" s="4"/>
      <c r="K28" s="9"/>
      <c r="L28" s="4"/>
      <c r="M28" s="4"/>
      <c r="N28" s="9"/>
    </row>
    <row r="29" spans="2:14" ht="31.5" customHeight="1" x14ac:dyDescent="0.3">
      <c r="B29" s="4">
        <v>26</v>
      </c>
      <c r="C29" s="5">
        <v>46114</v>
      </c>
      <c r="D29" s="4" t="s">
        <v>152</v>
      </c>
      <c r="E29" s="4" t="s">
        <v>139</v>
      </c>
      <c r="F29" s="4" t="s">
        <v>151</v>
      </c>
      <c r="G29" s="9" t="s">
        <v>82</v>
      </c>
      <c r="H29" s="4" t="s">
        <v>138</v>
      </c>
      <c r="I29" s="8">
        <v>121475</v>
      </c>
      <c r="J29" s="4" t="s">
        <v>140</v>
      </c>
      <c r="K29" s="9" t="s">
        <v>178</v>
      </c>
      <c r="L29" s="4" t="s">
        <v>179</v>
      </c>
      <c r="M29" s="4" t="s">
        <v>179</v>
      </c>
      <c r="N29" s="9"/>
    </row>
    <row r="30" spans="2:14" ht="31.5" customHeight="1" x14ac:dyDescent="0.3">
      <c r="B30" s="4">
        <v>27</v>
      </c>
      <c r="C30" s="5">
        <v>46118</v>
      </c>
      <c r="D30" s="4" t="s">
        <v>153</v>
      </c>
      <c r="E30" s="4" t="s">
        <v>150</v>
      </c>
      <c r="F30" s="4" t="s">
        <v>158</v>
      </c>
      <c r="G30" s="9" t="s">
        <v>82</v>
      </c>
      <c r="H30" s="4" t="s">
        <v>184</v>
      </c>
      <c r="I30" s="8">
        <v>6267250</v>
      </c>
      <c r="J30" s="4" t="s">
        <v>183</v>
      </c>
      <c r="K30" s="9" t="s">
        <v>132</v>
      </c>
      <c r="L30" s="4"/>
      <c r="M30" s="4"/>
      <c r="N30" s="9"/>
    </row>
    <row r="31" spans="2:14" ht="31.5" customHeight="1" x14ac:dyDescent="0.3">
      <c r="B31" s="4">
        <v>28</v>
      </c>
      <c r="C31" s="5">
        <v>46227</v>
      </c>
      <c r="D31" s="4" t="s">
        <v>210</v>
      </c>
      <c r="E31" s="4" t="s">
        <v>155</v>
      </c>
      <c r="F31" s="4" t="s">
        <v>195</v>
      </c>
      <c r="G31" s="9" t="s">
        <v>187</v>
      </c>
      <c r="H31" s="4" t="s">
        <v>196</v>
      </c>
      <c r="I31" s="8">
        <v>18300000</v>
      </c>
      <c r="J31" s="4" t="s">
        <v>78</v>
      </c>
      <c r="K31" s="9" t="s">
        <v>178</v>
      </c>
      <c r="L31" s="4" t="s">
        <v>179</v>
      </c>
      <c r="M31" s="4" t="s">
        <v>179</v>
      </c>
      <c r="N31" s="9"/>
    </row>
    <row r="32" spans="2:14" ht="31.5" customHeight="1" x14ac:dyDescent="0.3">
      <c r="B32" s="4">
        <v>29</v>
      </c>
      <c r="C32" s="5">
        <v>46163</v>
      </c>
      <c r="D32" s="4" t="s">
        <v>160</v>
      </c>
      <c r="E32" s="4" t="s">
        <v>159</v>
      </c>
      <c r="F32" s="4" t="s">
        <v>161</v>
      </c>
      <c r="G32" s="9" t="s">
        <v>213</v>
      </c>
      <c r="H32" s="4"/>
      <c r="I32" s="8"/>
      <c r="J32" s="4"/>
      <c r="K32" s="9"/>
      <c r="L32" s="4"/>
      <c r="M32" s="4"/>
      <c r="N32" s="9"/>
    </row>
    <row r="33" spans="2:14" ht="31.5" customHeight="1" x14ac:dyDescent="0.3">
      <c r="B33" s="4">
        <v>30</v>
      </c>
      <c r="C33" s="5">
        <v>46171</v>
      </c>
      <c r="D33" s="4" t="s">
        <v>163</v>
      </c>
      <c r="E33" s="4" t="s">
        <v>164</v>
      </c>
      <c r="F33" s="4" t="s">
        <v>165</v>
      </c>
      <c r="G33" s="9" t="s">
        <v>82</v>
      </c>
      <c r="H33" s="4" t="s">
        <v>186</v>
      </c>
      <c r="I33" s="8">
        <v>19964000</v>
      </c>
      <c r="J33" s="4" t="s">
        <v>185</v>
      </c>
      <c r="K33" s="9" t="s">
        <v>132</v>
      </c>
      <c r="L33" s="4"/>
      <c r="M33" s="4"/>
      <c r="N33" s="9"/>
    </row>
    <row r="34" spans="2:14" ht="31.5" customHeight="1" x14ac:dyDescent="0.3">
      <c r="B34" s="4">
        <v>31</v>
      </c>
      <c r="C34" s="5">
        <v>46202</v>
      </c>
      <c r="D34" s="4" t="s">
        <v>166</v>
      </c>
      <c r="E34" s="4" t="s">
        <v>167</v>
      </c>
      <c r="F34" s="4" t="s">
        <v>174</v>
      </c>
      <c r="G34" s="9" t="s">
        <v>82</v>
      </c>
      <c r="H34" s="4" t="s">
        <v>194</v>
      </c>
      <c r="I34" s="8">
        <v>2500000</v>
      </c>
      <c r="J34" s="4" t="s">
        <v>75</v>
      </c>
      <c r="K34" s="9" t="s">
        <v>134</v>
      </c>
      <c r="L34" s="4"/>
      <c r="M34" s="4"/>
      <c r="N34" s="9"/>
    </row>
    <row r="35" spans="2:14" ht="31.5" customHeight="1" x14ac:dyDescent="0.3">
      <c r="B35" s="4">
        <v>32</v>
      </c>
      <c r="C35" s="5">
        <v>46202</v>
      </c>
      <c r="D35" s="4" t="s">
        <v>168</v>
      </c>
      <c r="E35" s="4" t="s">
        <v>169</v>
      </c>
      <c r="F35" s="4" t="s">
        <v>175</v>
      </c>
      <c r="G35" s="9" t="s">
        <v>82</v>
      </c>
      <c r="H35" s="4" t="s">
        <v>214</v>
      </c>
      <c r="I35" s="8">
        <v>13032741</v>
      </c>
      <c r="J35" s="4" t="s">
        <v>188</v>
      </c>
      <c r="K35" s="9" t="s">
        <v>132</v>
      </c>
      <c r="L35" s="4"/>
      <c r="M35" s="4"/>
      <c r="N35" s="9"/>
    </row>
    <row r="36" spans="2:14" ht="31.5" customHeight="1" x14ac:dyDescent="0.3">
      <c r="B36" s="4">
        <v>33</v>
      </c>
      <c r="C36" s="5">
        <v>46202</v>
      </c>
      <c r="D36" s="4" t="s">
        <v>170</v>
      </c>
      <c r="E36" s="4" t="s">
        <v>171</v>
      </c>
      <c r="F36" s="4" t="s">
        <v>176</v>
      </c>
      <c r="G36" s="9" t="s">
        <v>82</v>
      </c>
      <c r="H36" s="4" t="s">
        <v>180</v>
      </c>
      <c r="I36" s="8">
        <v>5754338</v>
      </c>
      <c r="J36" s="4" t="s">
        <v>147</v>
      </c>
      <c r="K36" s="9" t="s">
        <v>178</v>
      </c>
      <c r="L36" s="4" t="s">
        <v>179</v>
      </c>
      <c r="M36" s="4" t="s">
        <v>179</v>
      </c>
      <c r="N36" s="9"/>
    </row>
    <row r="37" spans="2:14" ht="31.5" customHeight="1" x14ac:dyDescent="0.3">
      <c r="B37" s="4">
        <v>34</v>
      </c>
      <c r="C37" s="5">
        <v>46202</v>
      </c>
      <c r="D37" s="4" t="s">
        <v>172</v>
      </c>
      <c r="E37" s="4" t="s">
        <v>173</v>
      </c>
      <c r="F37" s="4" t="s">
        <v>177</v>
      </c>
      <c r="G37" s="9" t="s">
        <v>82</v>
      </c>
      <c r="H37" s="4" t="s">
        <v>181</v>
      </c>
      <c r="I37" s="8">
        <v>1913500</v>
      </c>
      <c r="J37" s="4" t="s">
        <v>182</v>
      </c>
      <c r="K37" s="9" t="s">
        <v>134</v>
      </c>
      <c r="L37" s="4"/>
      <c r="M37" s="4"/>
      <c r="N37" s="9"/>
    </row>
    <row r="38" spans="2:14" ht="31.5" customHeight="1" x14ac:dyDescent="0.3">
      <c r="B38" s="4">
        <v>35</v>
      </c>
      <c r="C38" s="5">
        <v>46237</v>
      </c>
      <c r="D38" s="4" t="s">
        <v>205</v>
      </c>
      <c r="E38" s="4" t="s">
        <v>206</v>
      </c>
      <c r="F38" s="4" t="s">
        <v>191</v>
      </c>
      <c r="G38" s="9" t="s">
        <v>213</v>
      </c>
      <c r="H38" s="4"/>
      <c r="I38" s="8"/>
      <c r="J38" s="4"/>
      <c r="K38" s="9"/>
      <c r="L38" s="4"/>
      <c r="M38" s="4"/>
      <c r="N38" s="9"/>
    </row>
    <row r="39" spans="2:14" ht="31.5" customHeight="1" x14ac:dyDescent="0.3">
      <c r="B39" s="4">
        <v>36</v>
      </c>
      <c r="C39" s="5">
        <v>46237</v>
      </c>
      <c r="D39" s="4" t="s">
        <v>205</v>
      </c>
      <c r="E39" s="4" t="s">
        <v>207</v>
      </c>
      <c r="F39" s="4" t="s">
        <v>208</v>
      </c>
      <c r="G39" s="9" t="s">
        <v>82</v>
      </c>
      <c r="H39" s="4" t="s">
        <v>216</v>
      </c>
      <c r="I39" s="8">
        <v>34559745</v>
      </c>
      <c r="J39" s="4" t="s">
        <v>215</v>
      </c>
      <c r="K39" s="9" t="s">
        <v>134</v>
      </c>
      <c r="L39" s="4"/>
      <c r="M39" s="4"/>
      <c r="N39" s="9"/>
    </row>
    <row r="40" spans="2:14" ht="31.5" customHeight="1" x14ac:dyDescent="0.3">
      <c r="B40" s="4">
        <v>37</v>
      </c>
      <c r="C40" s="5">
        <v>46251</v>
      </c>
      <c r="D40" s="4" t="s">
        <v>197</v>
      </c>
      <c r="E40" s="4" t="s">
        <v>198</v>
      </c>
      <c r="F40" s="4" t="s">
        <v>202</v>
      </c>
      <c r="G40" s="9" t="s">
        <v>82</v>
      </c>
      <c r="H40" s="4" t="s">
        <v>217</v>
      </c>
      <c r="I40" s="8">
        <v>752500</v>
      </c>
      <c r="J40" s="4" t="s">
        <v>80</v>
      </c>
      <c r="K40" s="9"/>
      <c r="L40" s="4"/>
      <c r="M40" s="4"/>
      <c r="N40" s="9"/>
    </row>
    <row r="41" spans="2:14" ht="31.5" customHeight="1" x14ac:dyDescent="0.3">
      <c r="B41" s="4">
        <v>38</v>
      </c>
      <c r="C41" s="5">
        <v>46251</v>
      </c>
      <c r="D41" s="4" t="s">
        <v>199</v>
      </c>
      <c r="E41" s="4" t="s">
        <v>12</v>
      </c>
      <c r="F41" s="4" t="s">
        <v>203</v>
      </c>
      <c r="G41" s="9"/>
      <c r="H41" s="4"/>
      <c r="I41" s="8"/>
      <c r="J41" s="4"/>
      <c r="K41" s="9"/>
      <c r="L41" s="4"/>
      <c r="M41" s="4"/>
      <c r="N41" s="9"/>
    </row>
    <row r="42" spans="2:14" ht="31.5" customHeight="1" x14ac:dyDescent="0.3">
      <c r="B42" s="4">
        <v>39</v>
      </c>
      <c r="C42" s="5">
        <v>46251</v>
      </c>
      <c r="D42" s="4" t="s">
        <v>200</v>
      </c>
      <c r="E42" s="4" t="s">
        <v>201</v>
      </c>
      <c r="F42" s="4" t="s">
        <v>204</v>
      </c>
      <c r="G42" s="9" t="s">
        <v>82</v>
      </c>
      <c r="H42" s="4"/>
      <c r="I42" s="8"/>
      <c r="J42" s="4" t="s">
        <v>75</v>
      </c>
      <c r="K42" s="9" t="s">
        <v>134</v>
      </c>
      <c r="L42" s="4"/>
      <c r="M42" s="4"/>
      <c r="N42" s="9"/>
    </row>
    <row r="43" spans="2:14" ht="31.5" customHeight="1" x14ac:dyDescent="0.3">
      <c r="B43" s="4">
        <v>40</v>
      </c>
      <c r="C43" s="5"/>
      <c r="D43" s="4"/>
      <c r="E43" s="4" t="s">
        <v>218</v>
      </c>
      <c r="F43" s="4"/>
      <c r="G43" s="9"/>
      <c r="H43" s="4"/>
      <c r="I43" s="8"/>
      <c r="J43" s="4"/>
      <c r="K43" s="9"/>
      <c r="L43" s="4"/>
      <c r="M43" s="4"/>
      <c r="N43" s="9" t="s">
        <v>224</v>
      </c>
    </row>
    <row r="44" spans="2:14" ht="31.5" customHeight="1" x14ac:dyDescent="0.3">
      <c r="B44" s="4">
        <v>41</v>
      </c>
      <c r="C44" s="5"/>
      <c r="D44" s="4"/>
      <c r="E44" s="4" t="s">
        <v>220</v>
      </c>
      <c r="F44" s="4" t="s">
        <v>222</v>
      </c>
      <c r="G44" s="9" t="s">
        <v>134</v>
      </c>
      <c r="H44" s="4"/>
      <c r="I44" s="8"/>
      <c r="J44" s="4"/>
      <c r="K44" s="9"/>
      <c r="L44" s="4"/>
      <c r="M44" s="4"/>
      <c r="N44" s="9" t="s">
        <v>225</v>
      </c>
    </row>
    <row r="45" spans="2:14" ht="31.5" customHeight="1" x14ac:dyDescent="0.3">
      <c r="B45" s="4">
        <v>42</v>
      </c>
      <c r="C45" s="5"/>
      <c r="D45" s="4"/>
      <c r="E45" s="4" t="s">
        <v>219</v>
      </c>
      <c r="F45" s="4" t="s">
        <v>221</v>
      </c>
      <c r="G45" s="9" t="s">
        <v>134</v>
      </c>
      <c r="H45" s="4"/>
      <c r="I45" s="8"/>
      <c r="J45" s="4"/>
      <c r="K45" s="9"/>
      <c r="L45" s="4"/>
      <c r="M45" s="4"/>
      <c r="N45" s="9" t="s">
        <v>223</v>
      </c>
    </row>
    <row r="46" spans="2:14" ht="31.5" customHeight="1" x14ac:dyDescent="0.3">
      <c r="B46" s="4">
        <v>43</v>
      </c>
      <c r="C46" s="5"/>
      <c r="D46" s="4"/>
      <c r="E46" s="4"/>
      <c r="F46" s="4"/>
      <c r="G46" s="9"/>
      <c r="H46" s="4"/>
      <c r="I46" s="8"/>
      <c r="J46" s="4"/>
      <c r="K46" s="9"/>
      <c r="L46" s="4"/>
      <c r="M46" s="4"/>
      <c r="N46" s="9"/>
    </row>
    <row r="47" spans="2:14" ht="31.5" customHeight="1" x14ac:dyDescent="0.3">
      <c r="B47" s="4">
        <v>44</v>
      </c>
      <c r="C47" s="5"/>
      <c r="D47" s="4"/>
      <c r="E47" s="4"/>
      <c r="F47" s="4"/>
      <c r="G47" s="9"/>
      <c r="H47" s="4"/>
      <c r="I47" s="8"/>
      <c r="J47" s="4"/>
      <c r="K47" s="9"/>
      <c r="L47" s="4"/>
      <c r="M47" s="4"/>
      <c r="N47" s="9"/>
    </row>
    <row r="48" spans="2:14" ht="31.5" customHeight="1" x14ac:dyDescent="0.3">
      <c r="B48" s="4">
        <v>45</v>
      </c>
      <c r="C48" s="5"/>
      <c r="D48" s="4"/>
      <c r="E48" s="4"/>
      <c r="F48" s="4"/>
      <c r="G48" s="9"/>
      <c r="H48" s="4"/>
      <c r="I48" s="8"/>
      <c r="J48" s="4"/>
      <c r="K48" s="9"/>
      <c r="L48" s="4"/>
      <c r="M48" s="4"/>
      <c r="N48" s="9"/>
    </row>
    <row r="49" spans="2:14" ht="31.5" customHeight="1" x14ac:dyDescent="0.3">
      <c r="B49" s="4">
        <v>46</v>
      </c>
      <c r="C49" s="5"/>
      <c r="D49" s="4"/>
      <c r="E49" s="4"/>
      <c r="F49" s="4"/>
      <c r="G49" s="9"/>
      <c r="H49" s="4"/>
      <c r="I49" s="8"/>
      <c r="J49" s="4"/>
      <c r="K49" s="9"/>
      <c r="L49" s="4"/>
      <c r="M49" s="4"/>
      <c r="N49" s="9"/>
    </row>
    <row r="50" spans="2:14" ht="31.5" customHeight="1" x14ac:dyDescent="0.3">
      <c r="B50" s="4">
        <v>47</v>
      </c>
      <c r="C50" s="5"/>
      <c r="D50" s="4"/>
      <c r="E50" s="4"/>
      <c r="F50" s="4"/>
      <c r="G50" s="9"/>
      <c r="H50" s="4"/>
      <c r="I50" s="8"/>
      <c r="J50" s="4"/>
      <c r="K50" s="9"/>
      <c r="L50" s="4"/>
      <c r="M50" s="4"/>
      <c r="N50" s="9"/>
    </row>
    <row r="51" spans="2:14" ht="31.5" customHeight="1" x14ac:dyDescent="0.3">
      <c r="B51" s="4">
        <v>48</v>
      </c>
      <c r="C51" s="5"/>
      <c r="D51" s="4"/>
      <c r="E51" s="4"/>
      <c r="F51" s="4"/>
      <c r="G51" s="9"/>
      <c r="H51" s="4"/>
      <c r="I51" s="8"/>
      <c r="J51" s="4"/>
      <c r="K51" s="9"/>
      <c r="L51" s="4"/>
      <c r="M51" s="4"/>
      <c r="N51" s="9"/>
    </row>
    <row r="52" spans="2:14" ht="31.5" customHeight="1" x14ac:dyDescent="0.3">
      <c r="B52" s="4">
        <v>49</v>
      </c>
      <c r="C52" s="5"/>
      <c r="D52" s="4"/>
      <c r="E52" s="4"/>
      <c r="F52" s="4"/>
      <c r="G52" s="9"/>
      <c r="H52" s="4"/>
      <c r="I52" s="8"/>
      <c r="J52" s="4"/>
      <c r="K52" s="9"/>
      <c r="L52" s="4"/>
      <c r="M52" s="4"/>
      <c r="N52" s="9"/>
    </row>
    <row r="53" spans="2:14" ht="31.5" customHeight="1" x14ac:dyDescent="0.3">
      <c r="B53" s="4">
        <v>50</v>
      </c>
      <c r="C53" s="5"/>
      <c r="D53" s="4"/>
      <c r="E53" s="4"/>
      <c r="F53" s="4"/>
      <c r="G53" s="9"/>
      <c r="H53" s="4"/>
      <c r="I53" s="8"/>
      <c r="J53" s="4"/>
      <c r="K53" s="9"/>
      <c r="L53" s="4"/>
      <c r="M53" s="4"/>
      <c r="N53" s="9"/>
    </row>
    <row r="54" spans="2:14" ht="25.5" customHeight="1" x14ac:dyDescent="0.3">
      <c r="I54" s="13">
        <f>SUM(I4:I53)</f>
        <v>210719810.88</v>
      </c>
    </row>
    <row r="56" spans="2:14" ht="14.5" x14ac:dyDescent="0.35">
      <c r="H56"/>
      <c r="I56" s="7"/>
      <c r="J5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AFDD-DC70-40D7-91AA-5F6E2DBCAFB2}">
  <sheetPr codeName="Sheet2"/>
  <dimension ref="B3:K20"/>
  <sheetViews>
    <sheetView zoomScale="90" zoomScaleNormal="90" workbookViewId="0">
      <pane xSplit="5" ySplit="3" topLeftCell="F6" activePane="bottomRight" state="frozen"/>
      <selection pane="topRight" activeCell="F1" sqref="F1"/>
      <selection pane="bottomLeft" activeCell="A4" sqref="A4"/>
      <selection pane="bottomRight" activeCell="F11" sqref="F11"/>
    </sheetView>
  </sheetViews>
  <sheetFormatPr defaultRowHeight="13" x14ac:dyDescent="0.3"/>
  <cols>
    <col min="1" max="1" width="3" style="6" customWidth="1"/>
    <col min="2" max="2" width="3.7265625" style="6" bestFit="1" customWidth="1"/>
    <col min="3" max="3" width="8.08984375" style="6" bestFit="1" customWidth="1"/>
    <col min="4" max="4" width="10.453125" style="6" bestFit="1" customWidth="1"/>
    <col min="5" max="5" width="73.1796875" style="6" customWidth="1"/>
    <col min="6" max="6" width="10.90625" style="6" customWidth="1"/>
    <col min="7" max="7" width="14" style="10" customWidth="1"/>
    <col min="8" max="10" width="10.90625" style="6" customWidth="1"/>
    <col min="11" max="11" width="19.36328125" style="6" customWidth="1"/>
    <col min="12" max="16384" width="8.7265625" style="6"/>
  </cols>
  <sheetData>
    <row r="3" spans="2:11" s="3" customFormat="1" ht="70.5" customHeight="1" x14ac:dyDescent="0.35">
      <c r="B3" s="1" t="s">
        <v>33</v>
      </c>
      <c r="C3" s="1" t="s">
        <v>34</v>
      </c>
      <c r="D3" s="14" t="s">
        <v>88</v>
      </c>
      <c r="E3" s="1" t="s">
        <v>36</v>
      </c>
      <c r="F3" s="1" t="s">
        <v>87</v>
      </c>
      <c r="G3" s="2" t="s">
        <v>38</v>
      </c>
      <c r="H3" s="1" t="s">
        <v>41</v>
      </c>
      <c r="I3" s="2" t="s">
        <v>45</v>
      </c>
      <c r="J3" s="1" t="s">
        <v>74</v>
      </c>
      <c r="K3" s="2" t="s">
        <v>44</v>
      </c>
    </row>
    <row r="4" spans="2:11" s="3" customFormat="1" ht="38.5" customHeight="1" x14ac:dyDescent="0.35">
      <c r="B4" s="1">
        <v>1</v>
      </c>
      <c r="C4" s="15">
        <v>46086</v>
      </c>
      <c r="D4" s="1" t="s">
        <v>89</v>
      </c>
      <c r="E4" s="14" t="s">
        <v>92</v>
      </c>
      <c r="F4" s="1"/>
      <c r="G4" s="14"/>
      <c r="H4" s="1"/>
      <c r="I4" s="16"/>
      <c r="J4" s="1"/>
      <c r="K4" s="1"/>
    </row>
    <row r="5" spans="2:11" s="3" customFormat="1" ht="38.5" customHeight="1" x14ac:dyDescent="0.35">
      <c r="B5" s="1">
        <v>2</v>
      </c>
      <c r="C5" s="15">
        <v>46086</v>
      </c>
      <c r="D5" s="1" t="s">
        <v>90</v>
      </c>
      <c r="E5" s="1" t="s">
        <v>91</v>
      </c>
      <c r="F5" s="1"/>
      <c r="G5" s="14"/>
      <c r="H5" s="1"/>
      <c r="I5" s="16"/>
      <c r="J5" s="1"/>
      <c r="K5" s="1"/>
    </row>
    <row r="6" spans="2:11" s="3" customFormat="1" ht="38.5" customHeight="1" x14ac:dyDescent="0.35">
      <c r="B6" s="1">
        <v>3</v>
      </c>
      <c r="C6" s="15">
        <v>46086</v>
      </c>
      <c r="D6" s="1" t="s">
        <v>94</v>
      </c>
      <c r="E6" s="14" t="s">
        <v>95</v>
      </c>
      <c r="F6" s="1"/>
      <c r="G6" s="14"/>
      <c r="H6" s="1"/>
      <c r="I6" s="16"/>
      <c r="J6" s="1"/>
      <c r="K6" s="1"/>
    </row>
    <row r="7" spans="2:11" s="3" customFormat="1" ht="38.5" customHeight="1" x14ac:dyDescent="0.35">
      <c r="B7" s="1">
        <v>4</v>
      </c>
      <c r="C7" s="15">
        <v>46086</v>
      </c>
      <c r="D7" s="1" t="s">
        <v>93</v>
      </c>
      <c r="E7" s="14" t="s">
        <v>96</v>
      </c>
      <c r="F7" s="1"/>
      <c r="G7" s="14"/>
      <c r="H7" s="1"/>
      <c r="I7" s="16"/>
      <c r="J7" s="1"/>
      <c r="K7" s="1"/>
    </row>
    <row r="8" spans="2:11" s="3" customFormat="1" ht="38.5" customHeight="1" x14ac:dyDescent="0.35">
      <c r="B8" s="1">
        <v>4</v>
      </c>
      <c r="C8" s="15">
        <v>46086</v>
      </c>
      <c r="D8" s="1" t="s">
        <v>93</v>
      </c>
      <c r="E8" s="14" t="s">
        <v>148</v>
      </c>
      <c r="F8" s="1"/>
      <c r="G8" s="14"/>
      <c r="H8" s="1"/>
      <c r="I8" s="16"/>
      <c r="J8" s="1"/>
      <c r="K8" s="1"/>
    </row>
    <row r="9" spans="2:11" s="3" customFormat="1" ht="38.5" customHeight="1" x14ac:dyDescent="0.35">
      <c r="B9" s="1">
        <v>5</v>
      </c>
      <c r="C9" s="15">
        <v>46087</v>
      </c>
      <c r="D9" s="1" t="s">
        <v>97</v>
      </c>
      <c r="E9" s="1" t="s">
        <v>98</v>
      </c>
      <c r="F9" s="1"/>
      <c r="G9" s="14"/>
      <c r="H9" s="1"/>
      <c r="I9" s="16"/>
      <c r="J9" s="1"/>
      <c r="K9" s="1"/>
    </row>
    <row r="10" spans="2:11" s="3" customFormat="1" ht="38.5" customHeight="1" x14ac:dyDescent="0.35">
      <c r="B10" s="1">
        <v>6</v>
      </c>
      <c r="C10" s="15"/>
      <c r="D10" s="1"/>
      <c r="E10" s="1" t="s">
        <v>133</v>
      </c>
      <c r="F10" s="1"/>
      <c r="G10" s="14"/>
      <c r="H10" s="1"/>
      <c r="I10" s="16"/>
      <c r="J10" s="1"/>
      <c r="K10" s="1"/>
    </row>
    <row r="11" spans="2:11" s="3" customFormat="1" ht="38.5" customHeight="1" x14ac:dyDescent="0.35">
      <c r="B11" s="1">
        <v>7</v>
      </c>
      <c r="C11" s="15"/>
      <c r="D11" s="1"/>
      <c r="E11" s="1" t="s">
        <v>162</v>
      </c>
      <c r="F11" s="1"/>
      <c r="G11" s="14"/>
      <c r="H11" s="1"/>
      <c r="I11" s="16"/>
      <c r="J11" s="1"/>
      <c r="K11" s="1"/>
    </row>
    <row r="12" spans="2:11" s="3" customFormat="1" ht="38.5" customHeight="1" x14ac:dyDescent="0.35">
      <c r="B12" s="1">
        <v>8</v>
      </c>
      <c r="C12" s="15"/>
      <c r="D12" s="1"/>
      <c r="E12" s="1"/>
      <c r="F12" s="1"/>
      <c r="G12" s="14"/>
      <c r="H12" s="1"/>
      <c r="I12" s="16"/>
      <c r="J12" s="1"/>
      <c r="K12" s="1"/>
    </row>
    <row r="13" spans="2:11" s="3" customFormat="1" ht="38.5" customHeight="1" x14ac:dyDescent="0.35">
      <c r="B13" s="1">
        <v>9</v>
      </c>
      <c r="C13" s="15"/>
      <c r="D13" s="1"/>
      <c r="E13" s="1"/>
      <c r="F13" s="1"/>
      <c r="G13" s="14"/>
      <c r="H13" s="1"/>
      <c r="I13" s="16"/>
      <c r="J13" s="1"/>
      <c r="K13" s="1"/>
    </row>
    <row r="14" spans="2:11" s="3" customFormat="1" ht="38.5" customHeight="1" x14ac:dyDescent="0.35">
      <c r="B14" s="1">
        <v>10</v>
      </c>
      <c r="C14" s="15"/>
      <c r="D14" s="1"/>
      <c r="E14" s="1"/>
      <c r="F14" s="1"/>
      <c r="G14" s="14"/>
      <c r="H14" s="1"/>
      <c r="I14" s="16"/>
      <c r="J14" s="1"/>
      <c r="K14" s="1"/>
    </row>
    <row r="15" spans="2:11" s="3" customFormat="1" ht="38.5" customHeight="1" x14ac:dyDescent="0.35">
      <c r="B15" s="1">
        <v>11</v>
      </c>
      <c r="C15" s="15"/>
      <c r="D15" s="1"/>
      <c r="E15" s="1"/>
      <c r="F15" s="1"/>
      <c r="G15" s="14"/>
      <c r="H15" s="1"/>
      <c r="I15" s="16"/>
      <c r="J15" s="1"/>
      <c r="K15" s="1"/>
    </row>
    <row r="16" spans="2:11" ht="33" customHeight="1" x14ac:dyDescent="0.3">
      <c r="B16" s="4">
        <v>12</v>
      </c>
      <c r="C16" s="5"/>
      <c r="D16" s="4"/>
      <c r="E16" s="4"/>
      <c r="F16" s="4"/>
      <c r="G16" s="9"/>
      <c r="H16" s="4"/>
      <c r="I16" s="8"/>
      <c r="J16" s="4"/>
      <c r="K16" s="4"/>
    </row>
    <row r="17" spans="2:11" ht="33" customHeight="1" x14ac:dyDescent="0.3">
      <c r="B17" s="4">
        <v>13</v>
      </c>
      <c r="C17" s="5"/>
      <c r="D17" s="4"/>
      <c r="E17" s="4"/>
      <c r="F17" s="4"/>
      <c r="G17" s="9"/>
      <c r="H17" s="4"/>
      <c r="I17" s="8"/>
      <c r="J17" s="4"/>
      <c r="K17" s="4"/>
    </row>
    <row r="18" spans="2:11" ht="25.5" customHeight="1" x14ac:dyDescent="0.3">
      <c r="I18" s="13">
        <f>SUM(I4:I17)</f>
        <v>0</v>
      </c>
    </row>
    <row r="20" spans="2:11" ht="14.5" x14ac:dyDescent="0.35">
      <c r="H20"/>
      <c r="I20" s="7"/>
      <c r="J20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EC8B-96E9-4FF4-BE7D-D6CA7AC54B6F}">
  <sheetPr codeName="Sheet3"/>
  <dimension ref="B4:P18"/>
  <sheetViews>
    <sheetView topLeftCell="A4" workbookViewId="0">
      <selection activeCell="L11" sqref="L11"/>
    </sheetView>
  </sheetViews>
  <sheetFormatPr defaultRowHeight="14.5" x14ac:dyDescent="0.35"/>
  <cols>
    <col min="1" max="1" width="5" customWidth="1"/>
    <col min="2" max="2" width="3.453125" customWidth="1"/>
    <col min="3" max="3" width="18.54296875" customWidth="1"/>
    <col min="4" max="16" width="10.26953125" customWidth="1"/>
  </cols>
  <sheetData>
    <row r="4" spans="2:16" s="17" customFormat="1" ht="43.5" x14ac:dyDescent="0.35">
      <c r="D4" s="19" t="s">
        <v>115</v>
      </c>
      <c r="E4" s="19" t="s">
        <v>111</v>
      </c>
      <c r="F4" s="19" t="s">
        <v>118</v>
      </c>
      <c r="G4" s="19" t="s">
        <v>120</v>
      </c>
      <c r="H4" s="19" t="s">
        <v>125</v>
      </c>
      <c r="I4" s="19" t="s">
        <v>113</v>
      </c>
      <c r="J4" s="19" t="s">
        <v>114</v>
      </c>
      <c r="K4" s="19" t="s">
        <v>121</v>
      </c>
      <c r="L4" s="19" t="s">
        <v>122</v>
      </c>
      <c r="M4" s="19" t="s">
        <v>116</v>
      </c>
      <c r="N4" s="19" t="s">
        <v>117</v>
      </c>
      <c r="O4" s="19" t="s">
        <v>119</v>
      </c>
      <c r="P4" s="19" t="s">
        <v>124</v>
      </c>
    </row>
    <row r="5" spans="2:16" s="18" customFormat="1" x14ac:dyDescent="0.35">
      <c r="D5" s="20" t="s">
        <v>112</v>
      </c>
      <c r="E5" s="20" t="s">
        <v>112</v>
      </c>
      <c r="F5" s="20" t="s">
        <v>112</v>
      </c>
      <c r="G5" s="20" t="s">
        <v>112</v>
      </c>
      <c r="H5" s="20" t="s">
        <v>112</v>
      </c>
      <c r="I5" s="20" t="s">
        <v>112</v>
      </c>
      <c r="J5" s="20" t="s">
        <v>112</v>
      </c>
      <c r="K5" s="20" t="s">
        <v>112</v>
      </c>
      <c r="L5" s="20" t="s">
        <v>112</v>
      </c>
      <c r="M5" s="20" t="s">
        <v>112</v>
      </c>
      <c r="N5" s="20" t="s">
        <v>112</v>
      </c>
      <c r="O5" s="20" t="s">
        <v>112</v>
      </c>
      <c r="P5" s="20" t="s">
        <v>112</v>
      </c>
    </row>
    <row r="6" spans="2:16" x14ac:dyDescent="0.35">
      <c r="B6" s="21">
        <v>1</v>
      </c>
      <c r="C6" s="21" t="s">
        <v>99</v>
      </c>
      <c r="D6" s="20" t="s">
        <v>156</v>
      </c>
      <c r="E6" s="20" t="s">
        <v>156</v>
      </c>
      <c r="F6" s="20" t="s">
        <v>156</v>
      </c>
      <c r="G6" s="20" t="s">
        <v>156</v>
      </c>
      <c r="H6" s="20" t="s">
        <v>156</v>
      </c>
      <c r="I6" s="20" t="s">
        <v>156</v>
      </c>
      <c r="J6" s="20" t="s">
        <v>156</v>
      </c>
      <c r="K6" s="20" t="s">
        <v>157</v>
      </c>
      <c r="L6" s="20" t="s">
        <v>157</v>
      </c>
      <c r="M6" s="20" t="s">
        <v>156</v>
      </c>
      <c r="N6" s="20" t="s">
        <v>156</v>
      </c>
      <c r="O6" s="20" t="s">
        <v>156</v>
      </c>
      <c r="P6" s="20" t="s">
        <v>156</v>
      </c>
    </row>
    <row r="7" spans="2:16" x14ac:dyDescent="0.35">
      <c r="B7" s="21">
        <v>2</v>
      </c>
      <c r="C7" s="21" t="s">
        <v>100</v>
      </c>
      <c r="D7" s="20" t="s">
        <v>156</v>
      </c>
      <c r="E7" s="20" t="s">
        <v>156</v>
      </c>
      <c r="F7" s="20" t="s">
        <v>156</v>
      </c>
      <c r="G7" s="20" t="s">
        <v>157</v>
      </c>
      <c r="H7" s="20" t="s">
        <v>156</v>
      </c>
      <c r="I7" s="20" t="s">
        <v>156</v>
      </c>
      <c r="J7" s="20" t="s">
        <v>156</v>
      </c>
      <c r="K7" s="20" t="s">
        <v>157</v>
      </c>
      <c r="L7" s="20" t="s">
        <v>157</v>
      </c>
      <c r="M7" s="20" t="s">
        <v>156</v>
      </c>
      <c r="N7" s="20" t="s">
        <v>156</v>
      </c>
      <c r="O7" s="20" t="s">
        <v>157</v>
      </c>
      <c r="P7" s="20" t="s">
        <v>156</v>
      </c>
    </row>
    <row r="8" spans="2:16" x14ac:dyDescent="0.35">
      <c r="B8" s="21">
        <v>3</v>
      </c>
      <c r="C8" s="21" t="s">
        <v>101</v>
      </c>
      <c r="D8" s="20" t="s">
        <v>156</v>
      </c>
      <c r="E8" s="20" t="s">
        <v>156</v>
      </c>
      <c r="F8" s="20" t="s">
        <v>156</v>
      </c>
      <c r="G8" s="20" t="s">
        <v>156</v>
      </c>
      <c r="H8" s="20" t="s">
        <v>156</v>
      </c>
      <c r="I8" s="20" t="s">
        <v>157</v>
      </c>
      <c r="J8" s="20" t="s">
        <v>157</v>
      </c>
      <c r="K8" s="20" t="s">
        <v>157</v>
      </c>
      <c r="L8" s="20" t="s">
        <v>157</v>
      </c>
      <c r="M8" s="20" t="s">
        <v>157</v>
      </c>
      <c r="N8" s="20" t="s">
        <v>157</v>
      </c>
      <c r="O8" s="20" t="s">
        <v>157</v>
      </c>
      <c r="P8" s="20" t="s">
        <v>156</v>
      </c>
    </row>
    <row r="9" spans="2:16" x14ac:dyDescent="0.35">
      <c r="B9" s="21">
        <v>4</v>
      </c>
      <c r="C9" s="21" t="s">
        <v>102</v>
      </c>
      <c r="D9" s="20" t="s">
        <v>156</v>
      </c>
      <c r="E9" s="20" t="s">
        <v>156</v>
      </c>
      <c r="F9" s="20" t="s">
        <v>157</v>
      </c>
      <c r="G9" s="20" t="s">
        <v>157</v>
      </c>
      <c r="H9" s="20" t="s">
        <v>156</v>
      </c>
      <c r="I9" s="20" t="s">
        <v>156</v>
      </c>
      <c r="J9" s="20" t="s">
        <v>156</v>
      </c>
      <c r="K9" s="20" t="s">
        <v>157</v>
      </c>
      <c r="L9" s="20" t="s">
        <v>157</v>
      </c>
      <c r="M9" s="20" t="s">
        <v>156</v>
      </c>
      <c r="N9" s="20" t="s">
        <v>156</v>
      </c>
      <c r="O9" s="20" t="s">
        <v>157</v>
      </c>
      <c r="P9" s="20" t="s">
        <v>156</v>
      </c>
    </row>
    <row r="10" spans="2:16" x14ac:dyDescent="0.35">
      <c r="B10" s="21">
        <v>5</v>
      </c>
      <c r="C10" s="21" t="s">
        <v>103</v>
      </c>
      <c r="D10" s="20" t="s">
        <v>157</v>
      </c>
      <c r="E10" s="20" t="s">
        <v>157</v>
      </c>
      <c r="F10" s="20" t="s">
        <v>157</v>
      </c>
      <c r="G10" s="20" t="s">
        <v>157</v>
      </c>
      <c r="H10" s="20" t="s">
        <v>157</v>
      </c>
      <c r="I10" s="20" t="s">
        <v>157</v>
      </c>
      <c r="J10" s="20" t="s">
        <v>157</v>
      </c>
      <c r="K10" s="20" t="s">
        <v>157</v>
      </c>
      <c r="L10" s="20" t="s">
        <v>157</v>
      </c>
      <c r="M10" s="20" t="s">
        <v>157</v>
      </c>
      <c r="N10" s="20" t="s">
        <v>157</v>
      </c>
      <c r="O10" s="20" t="s">
        <v>157</v>
      </c>
      <c r="P10" s="20" t="s">
        <v>156</v>
      </c>
    </row>
    <row r="11" spans="2:16" x14ac:dyDescent="0.35">
      <c r="B11" s="21">
        <v>6</v>
      </c>
      <c r="C11" s="21" t="s">
        <v>104</v>
      </c>
      <c r="D11" s="20" t="s">
        <v>156</v>
      </c>
      <c r="E11" s="20" t="s">
        <v>156</v>
      </c>
      <c r="F11" s="20" t="s">
        <v>157</v>
      </c>
      <c r="G11" s="20" t="s">
        <v>157</v>
      </c>
      <c r="H11" s="20" t="s">
        <v>157</v>
      </c>
      <c r="I11" s="20" t="s">
        <v>156</v>
      </c>
      <c r="J11" s="20" t="s">
        <v>157</v>
      </c>
      <c r="K11" s="20" t="s">
        <v>157</v>
      </c>
      <c r="L11" s="20" t="s">
        <v>157</v>
      </c>
      <c r="M11" s="20" t="s">
        <v>156</v>
      </c>
      <c r="N11" s="20" t="s">
        <v>156</v>
      </c>
      <c r="O11" s="20" t="s">
        <v>157</v>
      </c>
      <c r="P11" s="20" t="s">
        <v>156</v>
      </c>
    </row>
    <row r="12" spans="2:16" x14ac:dyDescent="0.35">
      <c r="B12" s="21">
        <v>7</v>
      </c>
      <c r="C12" s="21" t="s">
        <v>105</v>
      </c>
      <c r="D12" s="20" t="s">
        <v>156</v>
      </c>
      <c r="E12" s="20" t="s">
        <v>156</v>
      </c>
      <c r="F12" s="20" t="s">
        <v>157</v>
      </c>
      <c r="G12" s="20" t="s">
        <v>157</v>
      </c>
      <c r="H12" s="20" t="s">
        <v>156</v>
      </c>
      <c r="I12" s="20" t="s">
        <v>157</v>
      </c>
      <c r="J12" s="20" t="s">
        <v>157</v>
      </c>
      <c r="K12" s="20" t="s">
        <v>157</v>
      </c>
      <c r="L12" s="20" t="s">
        <v>157</v>
      </c>
      <c r="M12" s="20" t="s">
        <v>156</v>
      </c>
      <c r="N12" s="20" t="s">
        <v>156</v>
      </c>
      <c r="O12" s="20" t="s">
        <v>157</v>
      </c>
      <c r="P12" s="20" t="s">
        <v>156</v>
      </c>
    </row>
    <row r="13" spans="2:16" x14ac:dyDescent="0.35">
      <c r="B13" s="21">
        <v>8</v>
      </c>
      <c r="C13" s="21" t="s">
        <v>110</v>
      </c>
      <c r="D13" s="20" t="s">
        <v>156</v>
      </c>
      <c r="E13" s="20" t="s">
        <v>156</v>
      </c>
      <c r="F13" s="20" t="s">
        <v>156</v>
      </c>
      <c r="G13" s="20" t="s">
        <v>156</v>
      </c>
      <c r="H13" s="20" t="s">
        <v>156</v>
      </c>
      <c r="I13" s="20" t="s">
        <v>157</v>
      </c>
      <c r="J13" s="20" t="s">
        <v>156</v>
      </c>
      <c r="K13" s="20" t="s">
        <v>157</v>
      </c>
      <c r="L13" s="20" t="s">
        <v>157</v>
      </c>
      <c r="M13" s="20" t="s">
        <v>157</v>
      </c>
      <c r="N13" s="20" t="s">
        <v>157</v>
      </c>
      <c r="O13" s="20" t="s">
        <v>157</v>
      </c>
      <c r="P13" s="20" t="s">
        <v>156</v>
      </c>
    </row>
    <row r="14" spans="2:16" x14ac:dyDescent="0.35">
      <c r="B14" s="21">
        <v>9</v>
      </c>
      <c r="C14" s="21" t="s">
        <v>106</v>
      </c>
      <c r="D14" s="20" t="s">
        <v>156</v>
      </c>
      <c r="E14" s="20" t="s">
        <v>156</v>
      </c>
      <c r="F14" s="20" t="s">
        <v>157</v>
      </c>
      <c r="G14" s="20" t="s">
        <v>157</v>
      </c>
      <c r="H14" s="20" t="s">
        <v>157</v>
      </c>
      <c r="I14" s="20" t="s">
        <v>157</v>
      </c>
      <c r="J14" s="20" t="s">
        <v>157</v>
      </c>
      <c r="K14" s="20" t="s">
        <v>157</v>
      </c>
      <c r="L14" s="20" t="s">
        <v>157</v>
      </c>
      <c r="M14" s="20" t="s">
        <v>157</v>
      </c>
      <c r="N14" s="20" t="s">
        <v>157</v>
      </c>
      <c r="O14" s="20" t="s">
        <v>157</v>
      </c>
      <c r="P14" s="20" t="s">
        <v>156</v>
      </c>
    </row>
    <row r="15" spans="2:16" x14ac:dyDescent="0.35">
      <c r="B15" s="21">
        <v>10</v>
      </c>
      <c r="C15" s="21" t="s">
        <v>107</v>
      </c>
      <c r="D15" s="20" t="s">
        <v>156</v>
      </c>
      <c r="E15" s="20" t="s">
        <v>156</v>
      </c>
      <c r="F15" s="20" t="s">
        <v>157</v>
      </c>
      <c r="G15" s="20" t="s">
        <v>157</v>
      </c>
      <c r="H15" s="20" t="s">
        <v>156</v>
      </c>
      <c r="I15" s="20" t="s">
        <v>157</v>
      </c>
      <c r="J15" s="20" t="s">
        <v>157</v>
      </c>
      <c r="K15" s="20" t="s">
        <v>157</v>
      </c>
      <c r="L15" s="20" t="s">
        <v>157</v>
      </c>
      <c r="M15" s="20" t="s">
        <v>157</v>
      </c>
      <c r="N15" s="20" t="s">
        <v>157</v>
      </c>
      <c r="O15" s="20" t="s">
        <v>157</v>
      </c>
      <c r="P15" s="20" t="s">
        <v>156</v>
      </c>
    </row>
    <row r="16" spans="2:16" x14ac:dyDescent="0.35">
      <c r="B16" s="21">
        <v>11</v>
      </c>
      <c r="C16" s="21" t="s">
        <v>108</v>
      </c>
      <c r="D16" s="20" t="s">
        <v>156</v>
      </c>
      <c r="E16" s="20" t="s">
        <v>156</v>
      </c>
      <c r="F16" s="20" t="s">
        <v>157</v>
      </c>
      <c r="G16" s="20" t="s">
        <v>157</v>
      </c>
      <c r="H16" s="20" t="s">
        <v>156</v>
      </c>
      <c r="I16" s="20" t="s">
        <v>157</v>
      </c>
      <c r="J16" s="20" t="s">
        <v>157</v>
      </c>
      <c r="K16" s="20" t="s">
        <v>157</v>
      </c>
      <c r="L16" s="20" t="s">
        <v>157</v>
      </c>
      <c r="M16" s="20" t="s">
        <v>157</v>
      </c>
      <c r="N16" s="20" t="s">
        <v>157</v>
      </c>
      <c r="O16" s="20" t="s">
        <v>157</v>
      </c>
      <c r="P16" s="20" t="s">
        <v>156</v>
      </c>
    </row>
    <row r="17" spans="2:16" x14ac:dyDescent="0.35">
      <c r="B17" s="21">
        <v>12</v>
      </c>
      <c r="C17" s="21" t="s">
        <v>109</v>
      </c>
      <c r="D17" s="20" t="s">
        <v>156</v>
      </c>
      <c r="E17" s="20" t="s">
        <v>156</v>
      </c>
      <c r="F17" s="20" t="s">
        <v>156</v>
      </c>
      <c r="G17" s="20" t="s">
        <v>156</v>
      </c>
      <c r="H17" s="20" t="s">
        <v>156</v>
      </c>
      <c r="I17" s="20" t="s">
        <v>157</v>
      </c>
      <c r="J17" s="20" t="s">
        <v>157</v>
      </c>
      <c r="K17" s="20" t="s">
        <v>157</v>
      </c>
      <c r="L17" s="20" t="s">
        <v>157</v>
      </c>
      <c r="M17" s="20" t="s">
        <v>156</v>
      </c>
      <c r="N17" s="20" t="s">
        <v>156</v>
      </c>
      <c r="O17" s="20" t="s">
        <v>157</v>
      </c>
      <c r="P17" s="20" t="s">
        <v>156</v>
      </c>
    </row>
    <row r="18" spans="2:16" x14ac:dyDescent="0.35">
      <c r="B18" s="21">
        <v>13</v>
      </c>
      <c r="C18" s="21" t="s">
        <v>123</v>
      </c>
      <c r="D18" s="20" t="s">
        <v>156</v>
      </c>
      <c r="E18" s="20" t="s">
        <v>156</v>
      </c>
      <c r="F18" s="20" t="s">
        <v>156</v>
      </c>
      <c r="G18" s="20" t="s">
        <v>156</v>
      </c>
      <c r="H18" s="20" t="s">
        <v>156</v>
      </c>
      <c r="I18" s="20" t="s">
        <v>157</v>
      </c>
      <c r="J18" s="20" t="s">
        <v>157</v>
      </c>
      <c r="K18" s="20" t="s">
        <v>157</v>
      </c>
      <c r="L18" s="20" t="s">
        <v>157</v>
      </c>
      <c r="M18" s="20" t="s">
        <v>157</v>
      </c>
      <c r="N18" s="20" t="s">
        <v>157</v>
      </c>
      <c r="O18" s="20" t="s">
        <v>157</v>
      </c>
      <c r="P18" s="20" t="s">
        <v>156</v>
      </c>
    </row>
  </sheetData>
  <conditionalFormatting sqref="D6:P18">
    <cfRule type="cellIs" dxfId="1" priority="1" operator="equal">
      <formula>"No"</formula>
    </cfRule>
    <cfRule type="cellIs" dxfId="0" priority="3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REQUEST</vt:lpstr>
      <vt:lpstr>ITEM 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O. Majekodunmi</dc:creator>
  <cp:lastModifiedBy>Samuel O. Majekodunmi</cp:lastModifiedBy>
  <dcterms:created xsi:type="dcterms:W3CDTF">2026-02-16T14:26:33Z</dcterms:created>
  <dcterms:modified xsi:type="dcterms:W3CDTF">2026-10-09T01:39:25Z</dcterms:modified>
</cp:coreProperties>
</file>